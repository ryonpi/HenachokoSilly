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9200" windowHeight="12096"/>
  </bookViews>
  <sheets>
    <sheet name="試験ケース詳細" sheetId="2" r:id="rId1"/>
    <sheet name="リスト定義" sheetId="3" r:id="rId2"/>
  </sheets>
  <functionGroups/>
  <definedNames>
    <definedName name="OPTIONROW_SEPERATE_KEYWORD">" %|% "</definedName>
  </definedNames>
  <calcPr calcId="125725"/>
</workbook>
</file>

<file path=xl/calcChain.xml><?xml version="1.0" encoding="utf-8"?>
<calcChain xmlns="http://schemas.openxmlformats.org/spreadsheetml/2006/main">
  <c r="E16" i="2"/>
  <c r="E13"/>
  <c r="G35"/>
  <c r="F35" s="1"/>
  <c r="G34"/>
  <c r="F34" s="1"/>
  <c r="G33"/>
  <c r="F33" s="1"/>
  <c r="G32"/>
  <c r="F32" s="1"/>
  <c r="G31"/>
  <c r="F31" s="1"/>
  <c r="G30"/>
  <c r="F30" s="1"/>
  <c r="G29"/>
  <c r="F29" s="1"/>
  <c r="G28"/>
  <c r="F28" s="1"/>
  <c r="G27"/>
  <c r="F27" s="1"/>
  <c r="G26"/>
  <c r="F26" s="1"/>
  <c r="G25"/>
  <c r="F25" s="1"/>
  <c r="G24"/>
  <c r="F24" s="1"/>
  <c r="G23"/>
  <c r="F23" s="1"/>
  <c r="G22"/>
  <c r="F22" s="1"/>
  <c r="G21"/>
  <c r="F21" s="1"/>
  <c r="G20"/>
  <c r="F20" s="1"/>
  <c r="G19"/>
  <c r="F19" s="1"/>
  <c r="G18"/>
  <c r="F18" s="1"/>
  <c r="G17"/>
  <c r="F17" s="1"/>
  <c r="G16"/>
  <c r="F16" s="1"/>
  <c r="G15"/>
  <c r="F15" s="1"/>
  <c r="G14"/>
  <c r="F14" s="1"/>
  <c r="G13"/>
  <c r="F13" s="1"/>
  <c r="G12"/>
  <c r="F12" s="1"/>
  <c r="G11"/>
  <c r="F11" s="1"/>
  <c r="G10"/>
  <c r="F10" s="1"/>
  <c r="G9"/>
  <c r="F9" s="1"/>
  <c r="G8"/>
  <c r="F8" s="1"/>
  <c r="E8" s="1"/>
  <c r="G7"/>
  <c r="G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5"/>
  <c r="E14"/>
  <c r="E12"/>
  <c r="E11"/>
  <c r="E10"/>
  <c r="E9"/>
  <c r="A6"/>
  <c r="A15" s="1"/>
  <c r="F6" l="1"/>
  <c r="E6" s="1"/>
  <c r="F7"/>
  <c r="E7" s="1"/>
</calcChain>
</file>

<file path=xl/sharedStrings.xml><?xml version="1.0" encoding="utf-8"?>
<sst xmlns="http://schemas.openxmlformats.org/spreadsheetml/2006/main" count="46" uniqueCount="42">
  <si>
    <t>備考</t>
  </si>
  <si>
    <t>ケース詳細</t>
    <rPh sb="3" eb="5">
      <t>ショウサイ</t>
    </rPh>
    <phoneticPr fontId="1"/>
  </si>
  <si>
    <t>確認結果</t>
    <rPh sb="0" eb="2">
      <t>カクニン</t>
    </rPh>
    <rPh sb="2" eb="4">
      <t>ケッカ</t>
    </rPh>
    <phoneticPr fontId="1"/>
  </si>
  <si>
    <t>操作名</t>
    <phoneticPr fontId="1"/>
  </si>
  <si>
    <t>説明</t>
  </si>
  <si>
    <t>備考</t>
    <rPh sb="0" eb="2">
      <t>ビコウ</t>
    </rPh>
    <phoneticPr fontId="3"/>
  </si>
  <si>
    <t>Javascriptを実行する</t>
    <rPh sb="11" eb="13">
      <t>ジッコウ</t>
    </rPh>
    <phoneticPr fontId="3"/>
  </si>
  <si>
    <t>何をどうする</t>
    <rPh sb="0" eb="1">
      <t>ナニ</t>
    </rPh>
    <phoneticPr fontId="3"/>
  </si>
  <si>
    <t>No.</t>
    <phoneticPr fontId="1"/>
  </si>
  <si>
    <t>初回起動</t>
    <rPh sb="0" eb="2">
      <t>ショカイ</t>
    </rPh>
    <rPh sb="2" eb="4">
      <t>キドウ</t>
    </rPh>
    <phoneticPr fontId="1"/>
  </si>
  <si>
    <t>リスト定義シートの説明</t>
    <rPh sb="3" eb="5">
      <t>テイギ</t>
    </rPh>
    <rPh sb="9" eb="11">
      <t>セツメイ</t>
    </rPh>
    <phoneticPr fontId="1"/>
  </si>
  <si>
    <t>説明の置換後文字列</t>
    <rPh sb="0" eb="2">
      <t>セツメイ</t>
    </rPh>
    <rPh sb="3" eb="5">
      <t>チカン</t>
    </rPh>
    <rPh sb="5" eb="6">
      <t>ゴ</t>
    </rPh>
    <rPh sb="6" eb="9">
      <t>モジレツ</t>
    </rPh>
    <phoneticPr fontId="1"/>
  </si>
  <si>
    <t>https://www.google.co.jp/</t>
    <phoneticPr fontId="1"/>
  </si>
  <si>
    <t>コード</t>
    <phoneticPr fontId="1"/>
  </si>
  <si>
    <t>操作名リスト定義</t>
    <rPh sb="6" eb="8">
      <t>テイギ</t>
    </rPh>
    <phoneticPr fontId="1"/>
  </si>
  <si>
    <t>遷移</t>
  </si>
  <si>
    <t>遷移</t>
    <phoneticPr fontId="1"/>
  </si>
  <si>
    <t>項目「引数の前部分」に値「引数の後部分」を入力する。[xxx]</t>
    <rPh sb="7" eb="9">
      <t>ブブン</t>
    </rPh>
    <rPh sb="17" eb="19">
      <t>ブブン</t>
    </rPh>
    <phoneticPr fontId="3"/>
  </si>
  <si>
    <t>項目「引数の前部分」に値「引数の後部分」を入力する。[xxx]</t>
    <rPh sb="6" eb="7">
      <t>マエ</t>
    </rPh>
    <rPh sb="7" eb="9">
      <t>ブブン</t>
    </rPh>
    <rPh sb="17" eb="19">
      <t>ブブン</t>
    </rPh>
    <phoneticPr fontId="3"/>
  </si>
  <si>
    <t>ウィンドウサイズ</t>
  </si>
  <si>
    <t>ウィンドウサイズ</t>
    <phoneticPr fontId="3"/>
  </si>
  <si>
    <t>Chromeを起動する。</t>
  </si>
  <si>
    <t>起動</t>
    <rPh sb="0" eb="2">
      <t>キドウ</t>
    </rPh>
    <phoneticPr fontId="1"/>
  </si>
  <si>
    <t>[xxx]へ遷移する。</t>
    <phoneticPr fontId="1"/>
  </si>
  <si>
    <t>入力（index指定）</t>
    <rPh sb="0" eb="2">
      <t>ニュウリョク</t>
    </rPh>
    <rPh sb="8" eb="10">
      <t>シテイ</t>
    </rPh>
    <phoneticPr fontId="3"/>
  </si>
  <si>
    <t>入力（親子指定）</t>
    <rPh sb="0" eb="2">
      <t>ニュウリョク</t>
    </rPh>
    <rPh sb="3" eb="5">
      <t>オヤコ</t>
    </rPh>
    <rPh sb="5" eb="7">
      <t>シテイ</t>
    </rPh>
    <phoneticPr fontId="3"/>
  </si>
  <si>
    <t>項目[xxx]をクリックする。</t>
    <phoneticPr fontId="1"/>
  </si>
  <si>
    <t>クリック</t>
    <phoneticPr fontId="1"/>
  </si>
  <si>
    <t>待機</t>
    <rPh sb="0" eb="2">
      <t>タイキ</t>
    </rPh>
    <phoneticPr fontId="1"/>
  </si>
  <si>
    <t>[xxx]秒間待機する。</t>
    <rPh sb="6" eb="7">
      <t>カン</t>
    </rPh>
    <rPh sb="7" eb="9">
      <t>タイキ</t>
    </rPh>
    <phoneticPr fontId="1"/>
  </si>
  <si>
    <t>入力（ラベル指定）</t>
    <rPh sb="0" eb="2">
      <t>ニュウリョク</t>
    </rPh>
    <rPh sb="6" eb="8">
      <t>シテイ</t>
    </rPh>
    <phoneticPr fontId="3"/>
  </si>
  <si>
    <t>要素タイプ=要素の値で指定する。
セル内改行で詳細条件を設定すること。</t>
    <rPh sb="0" eb="2">
      <t>ヨウソ</t>
    </rPh>
    <rPh sb="6" eb="8">
      <t>ヨウソ</t>
    </rPh>
    <rPh sb="9" eb="10">
      <t>アタイ</t>
    </rPh>
    <rPh sb="11" eb="13">
      <t>シテイ</t>
    </rPh>
    <rPh sb="19" eb="20">
      <t>ナイ</t>
    </rPh>
    <rPh sb="20" eb="22">
      <t>カイギョウ</t>
    </rPh>
    <rPh sb="23" eb="25">
      <t>ショウサイ</t>
    </rPh>
    <rPh sb="25" eb="27">
      <t>ジョウケン</t>
    </rPh>
    <rPh sb="28" eb="30">
      <t>セッテイ</t>
    </rPh>
    <phoneticPr fontId="3"/>
  </si>
  <si>
    <t>スクリーンショット</t>
    <phoneticPr fontId="1"/>
  </si>
  <si>
    <t>スクリーンショットを撮る。</t>
    <phoneticPr fontId="1"/>
  </si>
  <si>
    <t>ファイル</t>
    <phoneticPr fontId="1"/>
  </si>
  <si>
    <t>スクリーンショットファイル名を[xxx]とする。</t>
    <rPh sb="13" eb="14">
      <t>メイ</t>
    </rPh>
    <phoneticPr fontId="1"/>
  </si>
  <si>
    <t>SQL実施</t>
    <rPh sb="3" eb="5">
      <t>ジッシ</t>
    </rPh>
    <phoneticPr fontId="3"/>
  </si>
  <si>
    <t>SQLを実施する。[xxx]</t>
    <rPh sb="4" eb="6">
      <t>ジッシ</t>
    </rPh>
    <phoneticPr fontId="1"/>
  </si>
  <si>
    <t>Javascript [xxx] を実行する。</t>
    <rPh sb="18" eb="20">
      <t>ジッコウ</t>
    </rPh>
    <phoneticPr fontId="3"/>
  </si>
  <si>
    <t>要素タイプ=要素の値で指定する。</t>
    <phoneticPr fontId="1"/>
  </si>
  <si>
    <t>Chromeのウィンドウサイズを[xxx]にする。</t>
    <phoneticPr fontId="1"/>
  </si>
  <si>
    <t>1280 x 1024</t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</si>
</sst>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rgb="FFF2F2F2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2121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212121"/>
      </right>
      <top/>
      <bottom/>
      <diagonal/>
    </border>
    <border>
      <left style="thin">
        <color rgb="FF212121"/>
      </left>
      <right style="thin">
        <color indexed="64"/>
      </right>
      <top/>
      <bottom style="thin">
        <color rgb="FF212121"/>
      </bottom>
      <diagonal/>
    </border>
    <border>
      <left style="thin">
        <color indexed="64"/>
      </left>
      <right style="thin">
        <color indexed="64"/>
      </right>
      <top/>
      <bottom style="thin">
        <color rgb="FF212121"/>
      </bottom>
      <diagonal/>
    </border>
    <border>
      <left style="thin">
        <color indexed="64"/>
      </left>
      <right style="thin">
        <color rgb="FF212121"/>
      </right>
      <top/>
      <bottom style="thin">
        <color rgb="FF2121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2121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3">
    <xf numFmtId="0" fontId="0" fillId="0" borderId="0" xfId="0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" xfId="0" quotePrefix="1" applyBorder="1">
      <alignment vertical="center"/>
    </xf>
    <xf numFmtId="0" fontId="0" fillId="0" borderId="10" xfId="0" applyBorder="1">
      <alignment vertical="center"/>
    </xf>
    <xf numFmtId="0" fontId="0" fillId="0" borderId="10" xfId="0" quotePrefix="1" applyBorder="1">
      <alignment vertical="center"/>
    </xf>
    <xf numFmtId="0" fontId="0" fillId="3" borderId="11" xfId="0" applyFill="1" applyBorder="1">
      <alignment vertical="center"/>
    </xf>
    <xf numFmtId="0" fontId="0" fillId="0" borderId="12" xfId="0" applyBorder="1">
      <alignment vertical="center"/>
    </xf>
    <xf numFmtId="0" fontId="0" fillId="3" borderId="13" xfId="0" applyFill="1" applyBorder="1">
      <alignment vertical="center"/>
    </xf>
    <xf numFmtId="0" fontId="5" fillId="2" borderId="1" xfId="1" applyFont="1" applyFill="1" applyBorder="1">
      <alignment vertical="center"/>
    </xf>
    <xf numFmtId="0" fontId="6" fillId="0" borderId="0" xfId="1" applyFont="1">
      <alignment vertical="center"/>
    </xf>
    <xf numFmtId="0" fontId="6" fillId="0" borderId="1" xfId="1" applyFont="1" applyBorder="1">
      <alignment vertical="center"/>
    </xf>
    <xf numFmtId="0" fontId="6" fillId="0" borderId="1" xfId="1" applyFont="1" applyBorder="1" applyAlignment="1">
      <alignment vertical="center" wrapText="1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164950</xdr:rowOff>
    </xdr:to>
    <xdr:sp macro="[0]!フォームを開く" textlink="">
      <xdr:nvSpPr>
        <xdr:cNvPr id="2" name="角丸四角形 1"/>
        <xdr:cNvSpPr/>
      </xdr:nvSpPr>
      <xdr:spPr>
        <a:xfrm>
          <a:off x="340659" y="170329"/>
          <a:ext cx="1954306" cy="3352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ケース選択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0</xdr:rowOff>
    </xdr:from>
    <xdr:to>
      <xdr:col>3</xdr:col>
      <xdr:colOff>5268686</xdr:colOff>
      <xdr:row>22</xdr:row>
      <xdr:rowOff>0</xdr:rowOff>
    </xdr:to>
    <xdr:sp macro="" textlink="">
      <xdr:nvSpPr>
        <xdr:cNvPr id="2" name="正方形/長方形 1"/>
        <xdr:cNvSpPr/>
      </xdr:nvSpPr>
      <xdr:spPr>
        <a:xfrm>
          <a:off x="7010400" y="4811486"/>
          <a:ext cx="5268686" cy="130628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latin typeface="+mn-ea"/>
              <a:ea typeface="+mn-ea"/>
            </a:rPr>
            <a:t>要素タイプ</a:t>
          </a:r>
          <a:r>
            <a:rPr kumimoji="1" lang="en-US" altLang="ja-JP" sz="1100">
              <a:latin typeface="+mn-ea"/>
              <a:ea typeface="+mn-ea"/>
            </a:rPr>
            <a:t>=</a:t>
          </a:r>
          <a:r>
            <a:rPr kumimoji="1" lang="ja-JP" altLang="en-US" sz="1100">
              <a:latin typeface="+mn-ea"/>
              <a:ea typeface="+mn-ea"/>
            </a:rPr>
            <a:t>要素の値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id = </a:t>
          </a:r>
          <a:r>
            <a:rPr kumimoji="1" lang="ja-JP" altLang="en-US" sz="1100">
              <a:latin typeface="+mn-ea"/>
              <a:ea typeface="+mn-ea"/>
            </a:rPr>
            <a:t>画面項目の</a:t>
          </a:r>
          <a:r>
            <a:rPr kumimoji="1" lang="en-US" altLang="ja-JP" sz="1100">
              <a:latin typeface="+mn-ea"/>
              <a:ea typeface="+mn-ea"/>
            </a:rPr>
            <a:t>ID</a:t>
          </a:r>
          <a:r>
            <a:rPr kumimoji="1" lang="ja-JP" altLang="en-US" sz="1100">
              <a:latin typeface="+mn-ea"/>
              <a:ea typeface="+mn-ea"/>
            </a:rPr>
            <a:t>属性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name = </a:t>
          </a:r>
          <a:r>
            <a:rPr kumimoji="1" lang="ja-JP" altLang="en-US" sz="1100">
              <a:latin typeface="+mn-ea"/>
              <a:ea typeface="+mn-ea"/>
            </a:rPr>
            <a:t>画面項目の</a:t>
          </a:r>
          <a:r>
            <a:rPr kumimoji="1" lang="en-US" altLang="ja-JP" sz="1100">
              <a:latin typeface="+mn-ea"/>
              <a:ea typeface="+mn-ea"/>
            </a:rPr>
            <a:t>name</a:t>
          </a:r>
          <a:r>
            <a:rPr kumimoji="1" lang="ja-JP" altLang="en-US" sz="1100">
              <a:latin typeface="+mn-ea"/>
              <a:ea typeface="+mn-ea"/>
            </a:rPr>
            <a:t>属性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tag = </a:t>
          </a:r>
          <a:r>
            <a:rPr kumimoji="1" lang="ja-JP" altLang="en-US" sz="1100">
              <a:latin typeface="+mn-ea"/>
              <a:ea typeface="+mn-ea"/>
            </a:rPr>
            <a:t>画面項目のタグ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class = </a:t>
          </a:r>
          <a:r>
            <a:rPr kumimoji="1" lang="ja-JP" altLang="en-US" sz="1100">
              <a:latin typeface="+mn-ea"/>
              <a:ea typeface="+mn-ea"/>
            </a:rPr>
            <a:t>画面項目の</a:t>
          </a:r>
          <a:r>
            <a:rPr kumimoji="1" lang="en-US" altLang="ja-JP" sz="1100">
              <a:latin typeface="+mn-ea"/>
              <a:ea typeface="+mn-ea"/>
            </a:rPr>
            <a:t>class</a:t>
          </a:r>
          <a:r>
            <a:rPr kumimoji="1" lang="ja-JP" altLang="en-US" sz="1100">
              <a:latin typeface="+mn-ea"/>
              <a:ea typeface="+mn-ea"/>
            </a:rPr>
            <a:t>属性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例</a:t>
          </a:r>
          <a:r>
            <a:rPr kumimoji="1" lang="en-US" altLang="ja-JP" sz="1100">
              <a:latin typeface="+mn-ea"/>
              <a:ea typeface="+mn-ea"/>
            </a:rPr>
            <a:t>:tag=td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5:H35"/>
  <sheetViews>
    <sheetView tabSelected="1" zoomScale="85" zoomScaleNormal="85" workbookViewId="0">
      <selection activeCell="D13" sqref="D13"/>
    </sheetView>
  </sheetViews>
  <sheetFormatPr defaultRowHeight="13.2"/>
  <cols>
    <col min="1" max="1" width="5" bestFit="1" customWidth="1"/>
    <col min="2" max="2" width="12.5546875" bestFit="1" customWidth="1"/>
    <col min="3" max="3" width="8.5546875" bestFit="1" customWidth="1"/>
    <col min="4" max="4" width="25.21875" bestFit="1" customWidth="1"/>
    <col min="5" max="5" width="48.109375" bestFit="1" customWidth="1"/>
    <col min="6" max="6" width="23" hidden="1" customWidth="1"/>
    <col min="7" max="7" width="25" hidden="1" customWidth="1"/>
    <col min="8" max="8" width="28" customWidth="1"/>
  </cols>
  <sheetData>
    <row r="5" spans="1:8">
      <c r="A5" s="1" t="s">
        <v>8</v>
      </c>
      <c r="B5" s="2" t="s">
        <v>1</v>
      </c>
      <c r="C5" s="3" t="s">
        <v>3</v>
      </c>
      <c r="D5" s="4" t="s">
        <v>7</v>
      </c>
      <c r="E5" s="2" t="s">
        <v>2</v>
      </c>
      <c r="F5" s="2" t="s">
        <v>11</v>
      </c>
      <c r="G5" s="2" t="s">
        <v>10</v>
      </c>
      <c r="H5" s="2" t="s">
        <v>0</v>
      </c>
    </row>
    <row r="6" spans="1:8">
      <c r="A6" s="14">
        <f>MAX($A$5:$A5)+1</f>
        <v>1</v>
      </c>
      <c r="B6" s="14" t="s">
        <v>9</v>
      </c>
      <c r="C6" s="14" t="s">
        <v>15</v>
      </c>
      <c r="D6" s="15" t="s">
        <v>12</v>
      </c>
      <c r="E6" s="14" t="str">
        <f>IF($C6="","",SUBSTITUTE($F6,CHAR(10),"-改行-"))</f>
        <v>https://www.google.co.jp/へ遷移する。</v>
      </c>
      <c r="F6" s="16" t="str">
        <f t="shared" ref="F6:F35" si="0">SUBSTITUTE($G6,"[xxx]",$D6)</f>
        <v>https://www.google.co.jp/へ遷移する。</v>
      </c>
      <c r="G6" s="16" t="str">
        <f>IF($C6="","",VLOOKUP(C6,リスト定義!$A$2:$B$13,2,FALSE))</f>
        <v>[xxx]へ遷移する。</v>
      </c>
      <c r="H6" s="14"/>
    </row>
    <row r="7" spans="1:8">
      <c r="A7" s="6"/>
      <c r="B7" s="6"/>
      <c r="C7" s="6" t="s">
        <v>28</v>
      </c>
      <c r="D7" s="13">
        <v>2</v>
      </c>
      <c r="E7" s="6" t="str">
        <f>IF($C7="","",SUBSTITUTE($F7,CHAR(10),"-改行-"))</f>
        <v>2秒間待機する。</v>
      </c>
      <c r="F7" s="11" t="str">
        <f t="shared" si="0"/>
        <v>2秒間待機する。</v>
      </c>
      <c r="G7" s="11" t="str">
        <f>IF($C7="","",VLOOKUP(C7,リスト定義!$A$2:$B$13,2,FALSE))</f>
        <v>[xxx]秒間待機する。</v>
      </c>
      <c r="H7" s="6"/>
    </row>
    <row r="8" spans="1:8">
      <c r="A8" s="6"/>
      <c r="B8" s="6"/>
      <c r="C8" s="6" t="s">
        <v>19</v>
      </c>
      <c r="D8" s="6" t="s">
        <v>41</v>
      </c>
      <c r="E8" s="6" t="str">
        <f t="shared" ref="E8:E35" si="1">IF($C8="","",SUBSTITUTE($F8,CHAR(10),"-改行-"))</f>
        <v>Chromeのウィンドウサイズを1280 x 1024にする。</v>
      </c>
      <c r="F8" s="11" t="str">
        <f t="shared" si="0"/>
        <v>Chromeのウィンドウサイズを1280 x 1024にする。</v>
      </c>
      <c r="G8" s="11" t="str">
        <f>IF($C8="","",VLOOKUP(C8,リスト定義!$A$2:$B$13,2,FALSE))</f>
        <v>Chromeのウィンドウサイズを[xxx]にする。</v>
      </c>
      <c r="H8" s="6"/>
    </row>
    <row r="9" spans="1:8">
      <c r="A9" s="6"/>
      <c r="B9" s="6"/>
      <c r="C9" s="6"/>
      <c r="D9" s="6"/>
      <c r="E9" s="6" t="str">
        <f t="shared" si="1"/>
        <v/>
      </c>
      <c r="F9" s="11" t="str">
        <f t="shared" si="0"/>
        <v/>
      </c>
      <c r="G9" s="11" t="str">
        <f>IF($C9="","",VLOOKUP(C9,リスト定義!$A$2:$B$13,2,FALSE))</f>
        <v/>
      </c>
      <c r="H9" s="6"/>
    </row>
    <row r="10" spans="1:8">
      <c r="A10" s="6"/>
      <c r="B10" s="6"/>
      <c r="C10" s="6"/>
      <c r="D10" s="6"/>
      <c r="E10" s="6" t="str">
        <f t="shared" si="1"/>
        <v/>
      </c>
      <c r="F10" s="11" t="str">
        <f t="shared" si="0"/>
        <v/>
      </c>
      <c r="G10" s="11" t="str">
        <f>IF($C10="","",VLOOKUP(C10,リスト定義!$A$2:$B$13,2,FALSE))</f>
        <v/>
      </c>
      <c r="H10" s="6"/>
    </row>
    <row r="11" spans="1:8">
      <c r="A11" s="6"/>
      <c r="B11" s="6"/>
      <c r="C11" s="6"/>
      <c r="D11" s="6"/>
      <c r="E11" s="6" t="str">
        <f t="shared" si="1"/>
        <v/>
      </c>
      <c r="F11" s="11" t="str">
        <f t="shared" si="0"/>
        <v/>
      </c>
      <c r="G11" s="11" t="str">
        <f>IF($C11="","",VLOOKUP(C11,リスト定義!$A$2:$B$13,2,FALSE))</f>
        <v/>
      </c>
      <c r="H11" s="6"/>
    </row>
    <row r="12" spans="1:8">
      <c r="A12" s="6"/>
      <c r="B12" s="6"/>
      <c r="C12" s="6"/>
      <c r="D12" s="6"/>
      <c r="E12" s="6" t="str">
        <f t="shared" si="1"/>
        <v/>
      </c>
      <c r="F12" s="11" t="str">
        <f t="shared" si="0"/>
        <v/>
      </c>
      <c r="G12" s="11" t="str">
        <f>IF($C12="","",VLOOKUP(C12,リスト定義!$A$2:$B$13,2,FALSE))</f>
        <v/>
      </c>
      <c r="H12" s="6"/>
    </row>
    <row r="13" spans="1:8">
      <c r="A13" s="6"/>
      <c r="B13" s="6"/>
      <c r="C13" s="6"/>
      <c r="D13" s="6"/>
      <c r="E13" s="6" t="str">
        <f>IF($C13="","",SUBSTITUTE($F13,CHAR(10),"-改行-"))</f>
        <v/>
      </c>
      <c r="F13" s="11" t="str">
        <f t="shared" si="0"/>
        <v/>
      </c>
      <c r="G13" s="11" t="str">
        <f>IF($C13="","",VLOOKUP(C13,リスト定義!$A$2:$B$13,2,FALSE))</f>
        <v/>
      </c>
      <c r="H13" s="6"/>
    </row>
    <row r="14" spans="1:8">
      <c r="A14" s="17"/>
      <c r="B14" s="17"/>
      <c r="C14" s="17"/>
      <c r="D14" s="17"/>
      <c r="E14" s="17" t="str">
        <f t="shared" si="1"/>
        <v/>
      </c>
      <c r="F14" s="18" t="str">
        <f t="shared" si="0"/>
        <v/>
      </c>
      <c r="G14" s="18" t="str">
        <f>IF($C14="","",VLOOKUP(C14,リスト定義!$A$2:$B$13,2,FALSE))</f>
        <v/>
      </c>
      <c r="H14" s="17"/>
    </row>
    <row r="15" spans="1:8">
      <c r="A15" s="5">
        <f>MAX($A$5:$A14)+1</f>
        <v>2</v>
      </c>
      <c r="B15" s="6"/>
      <c r="C15" s="6"/>
      <c r="D15" s="6"/>
      <c r="E15" s="6" t="str">
        <f t="shared" si="1"/>
        <v/>
      </c>
      <c r="F15" s="11" t="str">
        <f t="shared" si="0"/>
        <v/>
      </c>
      <c r="G15" s="11" t="str">
        <f>IF($C15="","",VLOOKUP(C15,リスト定義!$A$2:$B$13,2,FALSE))</f>
        <v/>
      </c>
      <c r="H15" s="7"/>
    </row>
    <row r="16" spans="1:8">
      <c r="A16" s="5"/>
      <c r="B16" s="6"/>
      <c r="C16" s="6"/>
      <c r="D16" s="6"/>
      <c r="E16" s="6" t="str">
        <f>IF($C16="","",SUBSTITUTE($F16,CHAR(10),"-改行-"))</f>
        <v/>
      </c>
      <c r="F16" s="11" t="str">
        <f t="shared" si="0"/>
        <v/>
      </c>
      <c r="G16" s="11" t="str">
        <f>IF($C16="","",VLOOKUP(C16,リスト定義!$A$2:$B$13,2,FALSE))</f>
        <v/>
      </c>
      <c r="H16" s="7"/>
    </row>
    <row r="17" spans="1:8">
      <c r="A17" s="5"/>
      <c r="B17" s="6"/>
      <c r="C17" s="6"/>
      <c r="D17" s="6"/>
      <c r="E17" s="6" t="str">
        <f t="shared" si="1"/>
        <v/>
      </c>
      <c r="F17" s="11" t="str">
        <f t="shared" si="0"/>
        <v/>
      </c>
      <c r="G17" s="11" t="str">
        <f>IF($C17="","",VLOOKUP(C17,リスト定義!$A$2:$B$13,2,FALSE))</f>
        <v/>
      </c>
      <c r="H17" s="7"/>
    </row>
    <row r="18" spans="1:8">
      <c r="A18" s="5"/>
      <c r="B18" s="6"/>
      <c r="C18" s="6"/>
      <c r="D18" s="6"/>
      <c r="E18" s="6" t="str">
        <f t="shared" si="1"/>
        <v/>
      </c>
      <c r="F18" s="11" t="str">
        <f t="shared" si="0"/>
        <v/>
      </c>
      <c r="G18" s="11" t="str">
        <f>IF($C18="","",VLOOKUP(C18,リスト定義!$A$2:$B$13,2,FALSE))</f>
        <v/>
      </c>
      <c r="H18" s="7"/>
    </row>
    <row r="19" spans="1:8">
      <c r="A19" s="5"/>
      <c r="B19" s="6"/>
      <c r="C19" s="6"/>
      <c r="D19" s="6"/>
      <c r="E19" s="6" t="str">
        <f t="shared" si="1"/>
        <v/>
      </c>
      <c r="F19" s="11" t="str">
        <f t="shared" si="0"/>
        <v/>
      </c>
      <c r="G19" s="11" t="str">
        <f>IF($C19="","",VLOOKUP(C19,リスト定義!$A$2:$B$13,2,FALSE))</f>
        <v/>
      </c>
      <c r="H19" s="7"/>
    </row>
    <row r="20" spans="1:8">
      <c r="A20" s="5"/>
      <c r="B20" s="6"/>
      <c r="C20" s="6"/>
      <c r="D20" s="6"/>
      <c r="E20" s="6" t="str">
        <f t="shared" si="1"/>
        <v/>
      </c>
      <c r="F20" s="11" t="str">
        <f t="shared" si="0"/>
        <v/>
      </c>
      <c r="G20" s="11" t="str">
        <f>IF($C20="","",VLOOKUP(C20,リスト定義!$A$2:$B$13,2,FALSE))</f>
        <v/>
      </c>
      <c r="H20" s="7"/>
    </row>
    <row r="21" spans="1:8">
      <c r="A21" s="5"/>
      <c r="B21" s="6"/>
      <c r="C21" s="6"/>
      <c r="D21" s="6"/>
      <c r="E21" s="6" t="str">
        <f t="shared" si="1"/>
        <v/>
      </c>
      <c r="F21" s="11" t="str">
        <f t="shared" si="0"/>
        <v/>
      </c>
      <c r="G21" s="11" t="str">
        <f>IF($C21="","",VLOOKUP(C21,リスト定義!$A$2:$B$13,2,FALSE))</f>
        <v/>
      </c>
      <c r="H21" s="7"/>
    </row>
    <row r="22" spans="1:8">
      <c r="A22" s="5"/>
      <c r="B22" s="6"/>
      <c r="C22" s="6"/>
      <c r="D22" s="6"/>
      <c r="E22" s="6" t="str">
        <f t="shared" si="1"/>
        <v/>
      </c>
      <c r="F22" s="11" t="str">
        <f t="shared" si="0"/>
        <v/>
      </c>
      <c r="G22" s="11" t="str">
        <f>IF($C22="","",VLOOKUP(C22,リスト定義!$A$2:$B$13,2,FALSE))</f>
        <v/>
      </c>
      <c r="H22" s="7"/>
    </row>
    <row r="23" spans="1:8">
      <c r="A23" s="5"/>
      <c r="B23" s="6"/>
      <c r="C23" s="6"/>
      <c r="D23" s="6"/>
      <c r="E23" s="6" t="str">
        <f t="shared" si="1"/>
        <v/>
      </c>
      <c r="F23" s="11" t="str">
        <f t="shared" si="0"/>
        <v/>
      </c>
      <c r="G23" s="11" t="str">
        <f>IF($C23="","",VLOOKUP(C23,リスト定義!$A$2:$B$13,2,FALSE))</f>
        <v/>
      </c>
      <c r="H23" s="7"/>
    </row>
    <row r="24" spans="1:8">
      <c r="A24" s="5"/>
      <c r="B24" s="6"/>
      <c r="C24" s="6"/>
      <c r="D24" s="6"/>
      <c r="E24" s="6" t="str">
        <f t="shared" si="1"/>
        <v/>
      </c>
      <c r="F24" s="11" t="str">
        <f t="shared" si="0"/>
        <v/>
      </c>
      <c r="G24" s="11" t="str">
        <f>IF($C24="","",VLOOKUP(C24,リスト定義!$A$2:$B$13,2,FALSE))</f>
        <v/>
      </c>
      <c r="H24" s="7"/>
    </row>
    <row r="25" spans="1:8">
      <c r="A25" s="5"/>
      <c r="B25" s="6"/>
      <c r="C25" s="6"/>
      <c r="D25" s="6"/>
      <c r="E25" s="6" t="str">
        <f t="shared" si="1"/>
        <v/>
      </c>
      <c r="F25" s="11" t="str">
        <f t="shared" si="0"/>
        <v/>
      </c>
      <c r="G25" s="11" t="str">
        <f>IF($C25="","",VLOOKUP(C25,リスト定義!$A$2:$B$13,2,FALSE))</f>
        <v/>
      </c>
      <c r="H25" s="7"/>
    </row>
    <row r="26" spans="1:8">
      <c r="A26" s="5"/>
      <c r="B26" s="6"/>
      <c r="C26" s="6"/>
      <c r="D26" s="6"/>
      <c r="E26" s="6" t="str">
        <f t="shared" si="1"/>
        <v/>
      </c>
      <c r="F26" s="11" t="str">
        <f t="shared" si="0"/>
        <v/>
      </c>
      <c r="G26" s="11" t="str">
        <f>IF($C26="","",VLOOKUP(C26,リスト定義!$A$2:$B$13,2,FALSE))</f>
        <v/>
      </c>
      <c r="H26" s="7"/>
    </row>
    <row r="27" spans="1:8">
      <c r="A27" s="5"/>
      <c r="B27" s="6"/>
      <c r="C27" s="6"/>
      <c r="D27" s="6"/>
      <c r="E27" s="6" t="str">
        <f t="shared" si="1"/>
        <v/>
      </c>
      <c r="F27" s="11" t="str">
        <f t="shared" si="0"/>
        <v/>
      </c>
      <c r="G27" s="11" t="str">
        <f>IF($C27="","",VLOOKUP(C27,リスト定義!$A$2:$B$13,2,FALSE))</f>
        <v/>
      </c>
      <c r="H27" s="7"/>
    </row>
    <row r="28" spans="1:8">
      <c r="A28" s="5"/>
      <c r="B28" s="6"/>
      <c r="C28" s="6"/>
      <c r="D28" s="6"/>
      <c r="E28" s="6" t="str">
        <f t="shared" si="1"/>
        <v/>
      </c>
      <c r="F28" s="11" t="str">
        <f t="shared" si="0"/>
        <v/>
      </c>
      <c r="G28" s="11" t="str">
        <f>IF($C28="","",VLOOKUP(C28,リスト定義!$A$2:$B$13,2,FALSE))</f>
        <v/>
      </c>
      <c r="H28" s="7"/>
    </row>
    <row r="29" spans="1:8">
      <c r="A29" s="5"/>
      <c r="B29" s="6"/>
      <c r="C29" s="6"/>
      <c r="D29" s="6"/>
      <c r="E29" s="6" t="str">
        <f t="shared" si="1"/>
        <v/>
      </c>
      <c r="F29" s="11" t="str">
        <f t="shared" si="0"/>
        <v/>
      </c>
      <c r="G29" s="11" t="str">
        <f>IF($C29="","",VLOOKUP(C29,リスト定義!$A$2:$B$13,2,FALSE))</f>
        <v/>
      </c>
      <c r="H29" s="7"/>
    </row>
    <row r="30" spans="1:8">
      <c r="A30" s="5"/>
      <c r="B30" s="6"/>
      <c r="C30" s="6"/>
      <c r="D30" s="6"/>
      <c r="E30" s="6" t="str">
        <f t="shared" si="1"/>
        <v/>
      </c>
      <c r="F30" s="11" t="str">
        <f t="shared" si="0"/>
        <v/>
      </c>
      <c r="G30" s="11" t="str">
        <f>IF($C30="","",VLOOKUP(C30,リスト定義!$A$2:$B$13,2,FALSE))</f>
        <v/>
      </c>
      <c r="H30" s="7"/>
    </row>
    <row r="31" spans="1:8">
      <c r="A31" s="5"/>
      <c r="B31" s="6"/>
      <c r="C31" s="6"/>
      <c r="D31" s="6"/>
      <c r="E31" s="6" t="str">
        <f t="shared" si="1"/>
        <v/>
      </c>
      <c r="F31" s="11" t="str">
        <f t="shared" si="0"/>
        <v/>
      </c>
      <c r="G31" s="11" t="str">
        <f>IF($C31="","",VLOOKUP(C31,リスト定義!$A$2:$B$13,2,FALSE))</f>
        <v/>
      </c>
      <c r="H31" s="7"/>
    </row>
    <row r="32" spans="1:8">
      <c r="A32" s="5"/>
      <c r="B32" s="6"/>
      <c r="C32" s="6"/>
      <c r="D32" s="6"/>
      <c r="E32" s="6" t="str">
        <f t="shared" si="1"/>
        <v/>
      </c>
      <c r="F32" s="11" t="str">
        <f t="shared" si="0"/>
        <v/>
      </c>
      <c r="G32" s="11" t="str">
        <f>IF($C32="","",VLOOKUP(C32,リスト定義!$A$2:$B$13,2,FALSE))</f>
        <v/>
      </c>
      <c r="H32" s="7"/>
    </row>
    <row r="33" spans="1:8">
      <c r="A33" s="5"/>
      <c r="B33" s="6"/>
      <c r="C33" s="6"/>
      <c r="D33" s="6"/>
      <c r="E33" s="6" t="str">
        <f t="shared" si="1"/>
        <v/>
      </c>
      <c r="F33" s="11" t="str">
        <f t="shared" si="0"/>
        <v/>
      </c>
      <c r="G33" s="11" t="str">
        <f>IF($C33="","",VLOOKUP(C33,リスト定義!$A$2:$B$13,2,FALSE))</f>
        <v/>
      </c>
      <c r="H33" s="7"/>
    </row>
    <row r="34" spans="1:8">
      <c r="A34" s="5"/>
      <c r="B34" s="6"/>
      <c r="C34" s="6"/>
      <c r="D34" s="6"/>
      <c r="E34" s="6" t="str">
        <f t="shared" si="1"/>
        <v/>
      </c>
      <c r="F34" s="11" t="str">
        <f t="shared" si="0"/>
        <v/>
      </c>
      <c r="G34" s="11" t="str">
        <f>IF($C34="","",VLOOKUP(C34,リスト定義!$A$2:$B$13,2,FALSE))</f>
        <v/>
      </c>
      <c r="H34" s="7"/>
    </row>
    <row r="35" spans="1:8">
      <c r="A35" s="8"/>
      <c r="B35" s="9"/>
      <c r="C35" s="9"/>
      <c r="D35" s="9"/>
      <c r="E35" s="9" t="str">
        <f t="shared" si="1"/>
        <v/>
      </c>
      <c r="F35" s="12" t="str">
        <f t="shared" si="0"/>
        <v/>
      </c>
      <c r="G35" s="12" t="str">
        <f>IF($C35="","",VLOOKUP(C35,リスト定義!$A$2:$B$13,2,FALSE))</f>
        <v/>
      </c>
      <c r="H35" s="10"/>
    </row>
  </sheetData>
  <phoneticPr fontId="1"/>
  <dataValidations count="1">
    <dataValidation type="list" allowBlank="1" showInputMessage="1" showErrorMessage="1" sqref="C6:C35">
      <formula1>リスト定義!A2:A13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D13"/>
  <sheetViews>
    <sheetView zoomScale="70" zoomScaleNormal="70" workbookViewId="0">
      <selection activeCell="B8" sqref="B8"/>
    </sheetView>
  </sheetViews>
  <sheetFormatPr defaultRowHeight="13.2"/>
  <cols>
    <col min="1" max="1" width="25.33203125" style="20" customWidth="1"/>
    <col min="2" max="2" width="63.33203125" style="20" customWidth="1"/>
    <col min="3" max="3" width="13.44140625" style="20" customWidth="1"/>
    <col min="4" max="4" width="39.33203125" style="20" bestFit="1" customWidth="1"/>
    <col min="5" max="16384" width="8.88671875" style="20"/>
  </cols>
  <sheetData>
    <row r="1" spans="1:4">
      <c r="A1" s="19" t="s">
        <v>14</v>
      </c>
      <c r="B1" s="19" t="s">
        <v>4</v>
      </c>
      <c r="C1" s="19" t="s">
        <v>13</v>
      </c>
      <c r="D1" s="19" t="s">
        <v>5</v>
      </c>
    </row>
    <row r="2" spans="1:4">
      <c r="A2" s="21" t="s">
        <v>22</v>
      </c>
      <c r="B2" s="22" t="s">
        <v>21</v>
      </c>
      <c r="C2" s="22"/>
      <c r="D2" s="21"/>
    </row>
    <row r="3" spans="1:4">
      <c r="A3" s="21" t="s">
        <v>20</v>
      </c>
      <c r="B3" s="22" t="s">
        <v>40</v>
      </c>
      <c r="C3" s="22"/>
      <c r="D3" s="21"/>
    </row>
    <row r="4" spans="1:4">
      <c r="A4" s="21" t="s">
        <v>28</v>
      </c>
      <c r="B4" s="22" t="s">
        <v>29</v>
      </c>
      <c r="C4" s="22"/>
      <c r="D4" s="21"/>
    </row>
    <row r="5" spans="1:4">
      <c r="A5" s="21" t="s">
        <v>16</v>
      </c>
      <c r="B5" s="22" t="s">
        <v>23</v>
      </c>
      <c r="C5" s="22"/>
      <c r="D5" s="21"/>
    </row>
    <row r="6" spans="1:4" ht="26.4">
      <c r="A6" s="21" t="s">
        <v>24</v>
      </c>
      <c r="B6" s="22" t="s">
        <v>17</v>
      </c>
      <c r="C6" s="22"/>
      <c r="D6" s="22" t="s">
        <v>31</v>
      </c>
    </row>
    <row r="7" spans="1:4" ht="26.4">
      <c r="A7" s="21" t="s">
        <v>30</v>
      </c>
      <c r="B7" s="22" t="s">
        <v>17</v>
      </c>
      <c r="C7" s="22"/>
      <c r="D7" s="22" t="s">
        <v>31</v>
      </c>
    </row>
    <row r="8" spans="1:4" ht="26.4">
      <c r="A8" s="21" t="s">
        <v>25</v>
      </c>
      <c r="B8" s="22" t="s">
        <v>18</v>
      </c>
      <c r="C8" s="22"/>
      <c r="D8" s="22" t="s">
        <v>31</v>
      </c>
    </row>
    <row r="9" spans="1:4">
      <c r="A9" s="21" t="s">
        <v>27</v>
      </c>
      <c r="B9" s="22" t="s">
        <v>26</v>
      </c>
      <c r="C9" s="22"/>
      <c r="D9" s="22" t="s">
        <v>39</v>
      </c>
    </row>
    <row r="10" spans="1:4">
      <c r="A10" s="21" t="s">
        <v>34</v>
      </c>
      <c r="B10" s="22" t="s">
        <v>35</v>
      </c>
      <c r="C10" s="22"/>
      <c r="D10" s="22"/>
    </row>
    <row r="11" spans="1:4">
      <c r="A11" s="21" t="s">
        <v>32</v>
      </c>
      <c r="B11" s="22" t="s">
        <v>33</v>
      </c>
      <c r="C11" s="22"/>
      <c r="D11" s="21"/>
    </row>
    <row r="12" spans="1:4">
      <c r="A12" s="21" t="s">
        <v>36</v>
      </c>
      <c r="B12" s="22" t="s">
        <v>37</v>
      </c>
      <c r="C12" s="22"/>
      <c r="D12" s="21"/>
    </row>
    <row r="13" spans="1:4">
      <c r="A13" s="21" t="s">
        <v>6</v>
      </c>
      <c r="B13" s="22" t="s">
        <v>38</v>
      </c>
      <c r="C13" s="22"/>
      <c r="D13" s="21"/>
    </row>
  </sheetData>
  <phoneticPr fontId="1"/>
  <pageMargins left="0.70833333333333304" right="0.70833333333333304" top="0.74791666666666701" bottom="0.74791666666666701" header="0.51180555555555496" footer="0.51180555555555496"/>
  <pageSetup paperSize="9" firstPageNumber="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試験ケース詳細</vt:lpstr>
      <vt:lpstr>リスト定義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adminiRyota</cp:lastModifiedBy>
  <dcterms:created xsi:type="dcterms:W3CDTF">2006-09-13T11:12:02Z</dcterms:created>
  <dcterms:modified xsi:type="dcterms:W3CDTF">2017-12-10T15:07:18Z</dcterms:modified>
</cp:coreProperties>
</file>