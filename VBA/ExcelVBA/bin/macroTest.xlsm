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84" yWindow="120" windowWidth="18216" windowHeight="8592" activeTab="1"/>
  </bookViews>
  <sheets>
    <sheet name="Sheet1" sheetId="1" r:id="rId1"/>
    <sheet name="Sheet2" sheetId="2" r:id="rId2"/>
    <sheet name="Sheet6" sheetId="6" r:id="rId3"/>
  </sheets>
  <functionGroups/>
  <calcPr calcId="125725"/>
</workbook>
</file>

<file path=xl/calcChain.xml><?xml version="1.0" encoding="utf-8"?>
<calcChain xmlns="http://schemas.openxmlformats.org/spreadsheetml/2006/main">
  <c r="C5" i="2"/>
  <c r="C3" i="1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F9"/>
  <c r="F24"/>
  <c r="F25"/>
  <c r="F26"/>
  <c r="F27"/>
  <c r="F28"/>
  <c r="F29"/>
  <c r="F30"/>
  <c r="F31"/>
  <c r="F32"/>
  <c r="F33"/>
  <c r="F34"/>
  <c r="F35"/>
  <c r="F36"/>
  <c r="F37"/>
  <c r="F38"/>
  <c r="F39"/>
  <c r="F10"/>
  <c r="F11"/>
  <c r="F12"/>
  <c r="F13"/>
  <c r="F14"/>
  <c r="F15"/>
  <c r="F16"/>
  <c r="F17"/>
  <c r="F18"/>
  <c r="F19"/>
  <c r="F20"/>
  <c r="F21"/>
  <c r="F22"/>
  <c r="F23"/>
  <c r="C8"/>
  <c r="C7"/>
  <c r="C4"/>
</calcChain>
</file>

<file path=xl/sharedStrings.xml><?xml version="1.0" encoding="utf-8"?>
<sst xmlns="http://schemas.openxmlformats.org/spreadsheetml/2006/main" count="106" uniqueCount="95">
  <si>
    <t>2017/9/07 00:58:46.788 [INFO ] Root WebApplicationContext: initialization started</t>
  </si>
  <si>
    <t>2017/9/07 00:58:46.898 [INFO ] Refreshing Root WebApplicationContext: startup date [Thu Sep 07 00:58:46 JST 2017]; root of context hierarchy</t>
  </si>
  <si>
    <t>2017/9/07 00:58:46.945 [INFO ] Loading XML bean definitions from ServletContext resource [/WEB-INF/spring/root-context.xml]</t>
  </si>
  <si>
    <t>2017/9/07 00:58:47.055 [INFO ] Pre-instantiating singletons in org.springframework.beans.factory.support.DefaultListableBeanFactory@28ce75ec: defining beans []; root of factory hierarchy</t>
  </si>
  <si>
    <t>2017/9/07 00:58:47.070 [INFO ] Root WebApplicationContext: initialization completed in 266 ms</t>
  </si>
  <si>
    <t>2017/9/07 00:58:47.117 [INFO ] FrameworkServlet 'appServlet': initialization started</t>
  </si>
  <si>
    <t>2017/9/07 00:58:47.117 [INFO ] Refreshing WebApplicationContext for namespace 'appServlet-servlet': startup date [Thu Sep 07 00:58:47 JST 2017]; parent: Root WebApplicationContext</t>
  </si>
  <si>
    <t>2017/9/07 00:58:47.117 [INFO ] Loading XML bean definitions from ServletContext resource [/WEB-INF/spring/appServlet/servlet-context.xml]</t>
  </si>
  <si>
    <t>2017/9/07 00:58:47.257 [INFO ] JSR-250 'javax.annotation.ManagedBean' found and supported for component scanning</t>
  </si>
  <si>
    <t>2017/9/07 00:58:47.257 [INFO ] JSR-330 'javax.inject.Named' annotation found and supported for component scanning</t>
  </si>
  <si>
    <t>2017/9/07 00:58:47.398 [INFO ] JSR-330 'javax.inject.Inject' annotation found and supported for autowiring</t>
  </si>
  <si>
    <t>2017/9/07 00:58:47.398 [INFO ] Pre-instantiating singletons in org.springframework.beans.factory.support.DefaultListableBeanFactory@26270b77: defining beans [org.springframework.web.servlet.mvc.method.annotation.RequestMappingHandlerMapping#0,org.springframework.format.support.FormattingConversionServiceFactoryBean#0,org.springframework.web.servlet.mvc.method.annotation.RequestMappingHandlerAdapter#0,org.springframework.web.servlet.handler.MappedInterceptor#0,org.springframework.web.servlet.mvc.method.annotation.ExceptionHandlerExceptionResolver#0,org.springframework.web.servlet.mvc.annotation.ResponseStatusExceptionResolver#0,org.springframework.web.servlet.mvc.support.DefaultHandlerExceptionResolver#0,org.springframework.web.servlet.handler.BeanNameUrlHandlerMapping,org.springframework.web.servlet.mvc.HttpRequestHandlerAdapter,org.springframework.web.servlet.mvc.SimpleControllerHandlerAdapter,org.springframework.web.servlet.resource.ResourceHttpRequestHandler#0,org.springframework.web.servlet.handler.SimpleUrlHandlerMapping#0,templateResolver,templateEngine,org.thymeleaf.spring3.view.ThymeleafViewResolver#0,dataSource,org.springframework.jdbc.core.JdbcTemplate#0,homeComponent,homeController,loginController,org.springframework.context.annotation.internalConfigurationAnnotationProcessor,org.springframework.context.annotation.internalAutowiredAnnotationProcessor,org.springframework.context.annotation.internalRequiredAnnotationProcessor,org.springframework.context.annotation.internalCommonAnnotationProcessor,org.springframework.context.annotation.ConfigurationClassPostProcessor$ImportAwareBeanPostProcessor#0]; parent: org.springframework.beans.factory.support.DefaultListableBeanFactory@28ce75ec</t>
  </si>
  <si>
    <t>2017/9/07 00:58:47.507 [INFO ] Mapped "{[/],methods=[GET],params=[],headers=[],consumes=[],produces=[],custom=[]}" onto public java.lang.String com.system.client.controller.HomeController.home(java.util.Locale,org.springframework.ui.Model)</t>
  </si>
  <si>
    <t>2017/9/07 00:58:47.507 [INFO ] Mapped "{[/login],methods=[GET],params=[],headers=[],consumes=[],produces=[],custom=[]}" onto public java.lang.String com.system.client.controller.LoginController.home(java.util.Locale,org.springframework.ui.Model)</t>
  </si>
  <si>
    <t>2017/9/07 00:58:47.741 [INFO ] Mapped URL path [/resources/**] onto handler 'org.springframework.web.servlet.resource.ResourceHttpRequestHandler#0'</t>
  </si>
  <si>
    <t>2017/9/07 00:58:47.913 [INFO ] FrameworkServlet 'appServlet': initialization completed in 796 ms</t>
  </si>
  <si>
    <t>2017/9/07 00:58:56.526 [INFO ] Welcome home! The client locale is ja.</t>
  </si>
  <si>
    <t>2017/9/07 00:58:56.541 [INFO ] System.getProperty:C:\DevEnv\pleiades\eclipse</t>
  </si>
  <si>
    <t>2017/9/07 00:58:56.541 [INFO ] System.getProperty:C:\Users\adminiRyota</t>
  </si>
  <si>
    <t>2017/9/07 00:58:56.541 [INFO ] System.getProperty:C:\DevEnv\pleiades\tomcat\9\bin\bootstrap.jar;C:\DevEnv\pleiades\tomcat\9\bin\tomcat-juli.jar;C:\DevEnv\pleiades\java\8\lib\tools.jar</t>
  </si>
  <si>
    <t>2017/9/07 00:59:07.665 [INFO ] Welcome home! The client locale is ja.</t>
  </si>
  <si>
    <t>2017/9/07 00:59:41.460 [INFO ] Closing WebApplicationContext for namespace 'appServlet-servlet': startup date [Thu Sep 07 00:58:47 JST 2017]; parent: Root WebApplicationContext</t>
  </si>
  <si>
    <t>2017/9/07 00:59:41.460 [INFO ] Destroying singletons in org.springframework.beans.factory.support.DefaultListableBeanFactory@26270b77: defining beans [org.springframework.web.servlet.mvc.method.annotation.RequestMappingHandlerMapping#0,org.springframework.format.support.FormattingConversionServiceFactoryBean#0,org.springframework.web.servlet.mvc.method.annotation.RequestMappingHandlerAdapter#0,org.springframework.web.servlet.handler.MappedInterceptor#0,org.springframework.web.servlet.mvc.method.annotation.ExceptionHandlerExceptionResolver#0,org.springframework.web.servlet.mvc.annotation.ResponseStatusExceptionResolver#0,org.springframework.web.servlet.mvc.support.DefaultHandlerExceptionResolver#0,org.springframework.web.servlet.handler.BeanNameUrlHandlerMapping,org.springframework.web.servlet.mvc.HttpRequestHandlerAdapter,org.springframework.web.servlet.mvc.SimpleControllerHandlerAdapter,org.springframework.web.servlet.resource.ResourceHttpRequestHandler#0,org.springframework.web.servlet.handler.SimpleUrlHandlerMapping#0,templateResolver,templateEngine,org.thymeleaf.spring3.view.ThymeleafViewResolver#0,dataSource,org.springframework.jdbc.core.JdbcTemplate#0,homeComponent,homeController,loginController,org.springframework.context.annotation.internalConfigurationAnnotationProcessor,org.springframework.context.annotation.internalAutowiredAnnotationProcessor,org.springframework.context.annotation.internalRequiredAnnotationProcessor,org.springframework.context.annotation.internalCommonAnnotationProcessor,org.springframework.context.annotation.ConfigurationClassPostProcessor$ImportAwareBeanPostProcessor#0]; parent: org.springframework.beans.factory.support.DefaultListableBeanFactory@28ce75ec</t>
  </si>
  <si>
    <t>2017/9/07 00:59:41.460 [INFO ] Closing Root WebApplicationContext: startup date [Thu Sep 07 00:58:46 JST 2017]; root of context hierarchy</t>
  </si>
  <si>
    <t>2017/9/07 00:59:41.460 [INFO ] Destroying singletons in org.springframework.beans.factory.support.DefaultListableBeanFactory@28ce75ec: defining beans []; root of factory hierarchy</t>
  </si>
  <si>
    <t>*spring*</t>
    <phoneticPr fontId="1"/>
  </si>
  <si>
    <t>検索</t>
    <rPh sb="0" eb="2">
      <t>ケンサク</t>
    </rPh>
    <phoneticPr fontId="1"/>
  </si>
  <si>
    <t>カウント</t>
    <phoneticPr fontId="1"/>
  </si>
  <si>
    <t>2017/9/07 00:58:56.526 [INFO ] Welcome home! The client locale is ja.</t>
    <phoneticPr fontId="1"/>
  </si>
  <si>
    <t>*Welcome*</t>
    <phoneticPr fontId="1"/>
  </si>
  <si>
    <t>*start*</t>
    <phoneticPr fontId="1"/>
  </si>
  <si>
    <t>*System*</t>
    <phoneticPr fontId="1"/>
  </si>
  <si>
    <t>黄色</t>
    <rPh sb="0" eb="2">
      <t>キイロ</t>
    </rPh>
    <phoneticPr fontId="1"/>
  </si>
  <si>
    <t>赤</t>
    <rPh sb="0" eb="1">
      <t>アカ</t>
    </rPh>
    <phoneticPr fontId="1"/>
  </si>
  <si>
    <t>IF(COUNTIF(A1:K1,1)&lt;&gt;0,"片面",IF(COUNTIF(A1:K1,2)&lt;&gt;0,"両面",""))</t>
    <phoneticPr fontId="1"/>
  </si>
  <si>
    <t>No</t>
    <phoneticPr fontId="1"/>
  </si>
  <si>
    <t>aaa2</t>
  </si>
  <si>
    <t>aaa3</t>
  </si>
  <si>
    <t>aaa4</t>
  </si>
  <si>
    <t>category1</t>
    <phoneticPr fontId="1"/>
  </si>
  <si>
    <t>category2</t>
  </si>
  <si>
    <t>category3</t>
  </si>
  <si>
    <t>ccc2</t>
  </si>
  <si>
    <t>abc3</t>
  </si>
  <si>
    <t>abc4</t>
  </si>
  <si>
    <t>abc5</t>
  </si>
  <si>
    <t>abc6</t>
  </si>
  <si>
    <t>abc7</t>
  </si>
  <si>
    <t>abc8</t>
  </si>
  <si>
    <t>abc10</t>
  </si>
  <si>
    <t>abc13</t>
  </si>
  <si>
    <t>abc14</t>
  </si>
  <si>
    <t>abc15</t>
  </si>
  <si>
    <t>abc16</t>
  </si>
  <si>
    <t>abc18</t>
  </si>
  <si>
    <t>abc20</t>
  </si>
  <si>
    <t>abc21</t>
  </si>
  <si>
    <t>abc22</t>
  </si>
  <si>
    <t>abc23</t>
  </si>
  <si>
    <t>開始セル</t>
    <rPh sb="0" eb="2">
      <t>カイシ</t>
    </rPh>
    <phoneticPr fontId="1"/>
  </si>
  <si>
    <t>検索機能</t>
  </si>
  <si>
    <t>初期処理</t>
  </si>
  <si>
    <t>abc1</t>
  </si>
  <si>
    <t>aaa1</t>
  </si>
  <si>
    <t>レスポンス設定処理</t>
  </si>
  <si>
    <t>保存機能</t>
  </si>
  <si>
    <t>ccc1</t>
  </si>
  <si>
    <t>1_1</t>
  </si>
  <si>
    <t>1_1_1</t>
  </si>
  <si>
    <t>1_2</t>
  </si>
  <si>
    <t>1_2_1</t>
  </si>
  <si>
    <t>1_3</t>
  </si>
  <si>
    <t>1_3_1</t>
  </si>
  <si>
    <t>1_3_2</t>
  </si>
  <si>
    <t>1_4</t>
  </si>
  <si>
    <t>1_4_1</t>
  </si>
  <si>
    <t>1_5</t>
  </si>
  <si>
    <t>1_5_1</t>
  </si>
  <si>
    <t>2_1</t>
  </si>
  <si>
    <t>2_1_1</t>
  </si>
  <si>
    <t>2_1_2</t>
  </si>
  <si>
    <t>2_2</t>
  </si>
  <si>
    <t>2_2_1</t>
  </si>
  <si>
    <t>2_2_2</t>
  </si>
  <si>
    <t>2_3</t>
  </si>
  <si>
    <t>2_3_1</t>
  </si>
  <si>
    <t>1_5_2</t>
  </si>
  <si>
    <t>1_6</t>
  </si>
  <si>
    <t>1_6_1</t>
  </si>
  <si>
    <t>2_3_2</t>
  </si>
  <si>
    <t>2_3_3</t>
  </si>
  <si>
    <t>2_4</t>
  </si>
  <si>
    <t>2_4_1</t>
  </si>
  <si>
    <t>1_7</t>
  </si>
  <si>
    <t>1_7_1</t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</si>
</sst>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56" fontId="0" fillId="0" borderId="2" xfId="0" applyNumberFormat="1" applyBorder="1">
      <alignment vertical="center"/>
    </xf>
    <xf numFmtId="14" fontId="0" fillId="0" borderId="3" xfId="0" applyNumberFormat="1" applyBorder="1">
      <alignment vertical="center"/>
    </xf>
    <xf numFmtId="14" fontId="0" fillId="0" borderId="0" xfId="0" applyNumberFormat="1" applyBorder="1">
      <alignment vertical="center"/>
    </xf>
    <xf numFmtId="56" fontId="0" fillId="0" borderId="5" xfId="0" applyNumberFormat="1" applyBorder="1">
      <alignment vertical="center"/>
    </xf>
    <xf numFmtId="56" fontId="0" fillId="0" borderId="7" xfId="0" applyNumberFormat="1" applyBorder="1">
      <alignment vertical="center"/>
    </xf>
    <xf numFmtId="14" fontId="0" fillId="0" borderId="8" xfId="0" applyNumberFormat="1" applyBorder="1">
      <alignment vertical="center"/>
    </xf>
  </cellXfs>
  <cellStyles count="1">
    <cellStyle name="標準" xfId="0" builtinId="0"/>
  </cellStyles>
  <dxfs count="1">
    <dxf>
      <font>
        <color theme="8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G40"/>
  <sheetViews>
    <sheetView zoomScaleNormal="100" workbookViewId="0">
      <selection activeCell="C4" sqref="C4"/>
    </sheetView>
  </sheetViews>
  <sheetFormatPr defaultRowHeight="13.2"/>
  <cols>
    <col min="6" max="6" width="9" bestFit="1" customWidth="1"/>
  </cols>
  <sheetData>
    <row r="2" spans="2:7">
      <c r="B2" t="s">
        <v>33</v>
      </c>
      <c r="C2" t="s">
        <v>27</v>
      </c>
      <c r="D2" t="s">
        <v>26</v>
      </c>
    </row>
    <row r="3" spans="2:7">
      <c r="C3">
        <f>COUNTIF($B$11:$B$40,D3)</f>
        <v>9</v>
      </c>
      <c r="D3" t="s">
        <v>25</v>
      </c>
    </row>
    <row r="4" spans="2:7">
      <c r="C4">
        <f t="shared" ref="C4:C8" si="0">COUNTIF($B$11:$B$40,D4)</f>
        <v>4</v>
      </c>
      <c r="D4" t="s">
        <v>29</v>
      </c>
    </row>
    <row r="6" spans="2:7">
      <c r="B6" t="s">
        <v>32</v>
      </c>
      <c r="C6" t="s">
        <v>27</v>
      </c>
      <c r="D6" t="s">
        <v>26</v>
      </c>
      <c r="F6" t="s">
        <v>34</v>
      </c>
    </row>
    <row r="7" spans="2:7">
      <c r="C7">
        <f>COUNTIF($B$11:$B$40,D7)</f>
        <v>8</v>
      </c>
      <c r="D7" t="s">
        <v>31</v>
      </c>
    </row>
    <row r="8" spans="2:7">
      <c r="C8">
        <f t="shared" si="0"/>
        <v>6</v>
      </c>
      <c r="D8" t="s">
        <v>30</v>
      </c>
    </row>
    <row r="9" spans="2:7">
      <c r="F9">
        <f>IF(COUNTIF($D$3:$D$4,B11)=0,0,1)</f>
        <v>0</v>
      </c>
      <c r="G9">
        <f>COUNTIF($D$3:$D$4,B11)</f>
        <v>0</v>
      </c>
    </row>
    <row r="10" spans="2:7">
      <c r="F10">
        <f t="shared" ref="F10:F39" si="1">IF(COUNTIF($D$3:$D$4,B12)=0,0,1)</f>
        <v>0</v>
      </c>
      <c r="G10">
        <f t="shared" ref="G10:G31" si="2">COUNTIF($D$3:$D$4,B12)</f>
        <v>0</v>
      </c>
    </row>
    <row r="11" spans="2:7">
      <c r="B11" t="s">
        <v>0</v>
      </c>
      <c r="F11">
        <f t="shared" si="1"/>
        <v>0</v>
      </c>
      <c r="G11">
        <f t="shared" si="2"/>
        <v>0</v>
      </c>
    </row>
    <row r="12" spans="2:7">
      <c r="B12" t="s">
        <v>1</v>
      </c>
      <c r="F12">
        <f t="shared" si="1"/>
        <v>0</v>
      </c>
      <c r="G12">
        <f t="shared" si="2"/>
        <v>0</v>
      </c>
    </row>
    <row r="13" spans="2:7">
      <c r="B13" t="s">
        <v>2</v>
      </c>
      <c r="F13">
        <f t="shared" si="1"/>
        <v>0</v>
      </c>
      <c r="G13">
        <f t="shared" si="2"/>
        <v>0</v>
      </c>
    </row>
    <row r="14" spans="2:7">
      <c r="B14" t="s">
        <v>3</v>
      </c>
      <c r="F14">
        <f t="shared" si="1"/>
        <v>0</v>
      </c>
      <c r="G14">
        <f t="shared" si="2"/>
        <v>0</v>
      </c>
    </row>
    <row r="15" spans="2:7">
      <c r="B15" t="s">
        <v>4</v>
      </c>
      <c r="F15">
        <f t="shared" si="1"/>
        <v>0</v>
      </c>
      <c r="G15">
        <f t="shared" si="2"/>
        <v>0</v>
      </c>
    </row>
    <row r="16" spans="2:7">
      <c r="B16" t="s">
        <v>5</v>
      </c>
      <c r="F16">
        <f t="shared" si="1"/>
        <v>0</v>
      </c>
      <c r="G16">
        <f t="shared" si="2"/>
        <v>0</v>
      </c>
    </row>
    <row r="17" spans="2:7">
      <c r="B17" t="s">
        <v>6</v>
      </c>
      <c r="F17">
        <f t="shared" si="1"/>
        <v>0</v>
      </c>
      <c r="G17">
        <f t="shared" si="2"/>
        <v>0</v>
      </c>
    </row>
    <row r="18" spans="2:7">
      <c r="B18" t="s">
        <v>7</v>
      </c>
      <c r="F18">
        <f t="shared" si="1"/>
        <v>0</v>
      </c>
      <c r="G18">
        <f t="shared" si="2"/>
        <v>0</v>
      </c>
    </row>
    <row r="19" spans="2:7">
      <c r="B19" t="s">
        <v>8</v>
      </c>
      <c r="F19">
        <f t="shared" si="1"/>
        <v>0</v>
      </c>
      <c r="G19">
        <f t="shared" si="2"/>
        <v>0</v>
      </c>
    </row>
    <row r="20" spans="2:7">
      <c r="B20" t="s">
        <v>9</v>
      </c>
      <c r="F20" t="e">
        <f t="shared" si="1"/>
        <v>#VALUE!</v>
      </c>
      <c r="G20" t="e">
        <f t="shared" si="2"/>
        <v>#VALUE!</v>
      </c>
    </row>
    <row r="21" spans="2:7">
      <c r="B21" t="s">
        <v>10</v>
      </c>
      <c r="F21">
        <f t="shared" si="1"/>
        <v>0</v>
      </c>
      <c r="G21">
        <f t="shared" si="2"/>
        <v>0</v>
      </c>
    </row>
    <row r="22" spans="2:7">
      <c r="B22" s="1" t="s">
        <v>11</v>
      </c>
      <c r="F22">
        <f t="shared" si="1"/>
        <v>0</v>
      </c>
      <c r="G22">
        <f t="shared" si="2"/>
        <v>0</v>
      </c>
    </row>
    <row r="23" spans="2:7">
      <c r="B23" t="s">
        <v>12</v>
      </c>
      <c r="F23">
        <f t="shared" si="1"/>
        <v>0</v>
      </c>
      <c r="G23">
        <f t="shared" si="2"/>
        <v>0</v>
      </c>
    </row>
    <row r="24" spans="2:7">
      <c r="B24" t="s">
        <v>13</v>
      </c>
      <c r="F24">
        <f t="shared" si="1"/>
        <v>0</v>
      </c>
      <c r="G24">
        <f t="shared" si="2"/>
        <v>0</v>
      </c>
    </row>
    <row r="25" spans="2:7">
      <c r="B25" t="s">
        <v>14</v>
      </c>
      <c r="F25">
        <f t="shared" si="1"/>
        <v>0</v>
      </c>
      <c r="G25">
        <f t="shared" si="2"/>
        <v>0</v>
      </c>
    </row>
    <row r="26" spans="2:7">
      <c r="B26" t="s">
        <v>15</v>
      </c>
      <c r="F26">
        <f t="shared" si="1"/>
        <v>0</v>
      </c>
      <c r="G26">
        <f t="shared" si="2"/>
        <v>0</v>
      </c>
    </row>
    <row r="27" spans="2:7">
      <c r="B27" t="s">
        <v>28</v>
      </c>
      <c r="F27">
        <f t="shared" si="1"/>
        <v>0</v>
      </c>
      <c r="G27">
        <f t="shared" si="2"/>
        <v>0</v>
      </c>
    </row>
    <row r="28" spans="2:7">
      <c r="B28" t="s">
        <v>16</v>
      </c>
      <c r="F28">
        <f t="shared" si="1"/>
        <v>0</v>
      </c>
      <c r="G28">
        <f t="shared" si="2"/>
        <v>0</v>
      </c>
    </row>
    <row r="29" spans="2:7">
      <c r="B29" t="s">
        <v>17</v>
      </c>
      <c r="F29">
        <f t="shared" si="1"/>
        <v>0</v>
      </c>
      <c r="G29">
        <f t="shared" si="2"/>
        <v>0</v>
      </c>
    </row>
    <row r="30" spans="2:7">
      <c r="B30" t="s">
        <v>17</v>
      </c>
      <c r="F30">
        <f t="shared" si="1"/>
        <v>0</v>
      </c>
      <c r="G30">
        <f t="shared" si="2"/>
        <v>0</v>
      </c>
    </row>
    <row r="31" spans="2:7">
      <c r="B31" t="s">
        <v>18</v>
      </c>
      <c r="F31">
        <f t="shared" si="1"/>
        <v>0</v>
      </c>
      <c r="G31">
        <f t="shared" si="2"/>
        <v>0</v>
      </c>
    </row>
    <row r="32" spans="2:7">
      <c r="B32" t="s">
        <v>18</v>
      </c>
      <c r="F32">
        <f t="shared" si="1"/>
        <v>0</v>
      </c>
    </row>
    <row r="33" spans="2:6">
      <c r="B33" t="s">
        <v>19</v>
      </c>
      <c r="F33">
        <f t="shared" si="1"/>
        <v>0</v>
      </c>
    </row>
    <row r="34" spans="2:6">
      <c r="B34" t="s">
        <v>19</v>
      </c>
      <c r="F34">
        <f t="shared" si="1"/>
        <v>0</v>
      </c>
    </row>
    <row r="35" spans="2:6">
      <c r="B35" t="s">
        <v>20</v>
      </c>
      <c r="F35">
        <f t="shared" si="1"/>
        <v>0</v>
      </c>
    </row>
    <row r="36" spans="2:6">
      <c r="B36" t="s">
        <v>20</v>
      </c>
      <c r="F36" t="e">
        <f t="shared" si="1"/>
        <v>#VALUE!</v>
      </c>
    </row>
    <row r="37" spans="2:6">
      <c r="B37" t="s">
        <v>21</v>
      </c>
      <c r="F37">
        <f t="shared" si="1"/>
        <v>0</v>
      </c>
    </row>
    <row r="38" spans="2:6">
      <c r="B38" s="1" t="s">
        <v>22</v>
      </c>
      <c r="F38">
        <f t="shared" si="1"/>
        <v>0</v>
      </c>
    </row>
    <row r="39" spans="2:6">
      <c r="B39" t="s">
        <v>23</v>
      </c>
      <c r="F39">
        <f t="shared" si="1"/>
        <v>0</v>
      </c>
    </row>
    <row r="40" spans="2:6">
      <c r="B40" t="s">
        <v>24</v>
      </c>
    </row>
  </sheetData>
  <phoneticPr fontId="1"/>
  <conditionalFormatting sqref="B11:B41">
    <cfRule type="expression" dxfId="0" priority="1">
      <formula>COUNTIF($D$3:$D$4,B11)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5:F30"/>
  <sheetViews>
    <sheetView tabSelected="1" workbookViewId="0">
      <selection activeCell="E16" sqref="E16"/>
    </sheetView>
  </sheetViews>
  <sheetFormatPr defaultRowHeight="13.2"/>
  <cols>
    <col min="1" max="1" width="3.88671875" bestFit="1" customWidth="1"/>
    <col min="2" max="2" width="9.77734375" bestFit="1" customWidth="1"/>
    <col min="3" max="3" width="3.88671875" bestFit="1" customWidth="1"/>
    <col min="4" max="4" width="19.21875" bestFit="1" customWidth="1"/>
    <col min="5" max="5" width="5.6640625" bestFit="1" customWidth="1"/>
    <col min="6" max="6" width="9.77734375" bestFit="1" customWidth="1"/>
  </cols>
  <sheetData>
    <row r="5" spans="1:6">
      <c r="B5" s="2" t="s">
        <v>59</v>
      </c>
      <c r="C5" s="3" t="str">
        <f>ADDRESS(ROW(F8),COLUMN(F8),4)</f>
        <v>F8</v>
      </c>
    </row>
    <row r="7" spans="1:6">
      <c r="A7" s="2" t="s">
        <v>35</v>
      </c>
      <c r="B7" s="2" t="s">
        <v>39</v>
      </c>
      <c r="C7" s="2" t="s">
        <v>35</v>
      </c>
      <c r="D7" s="2" t="s">
        <v>40</v>
      </c>
      <c r="E7" s="2" t="s">
        <v>35</v>
      </c>
      <c r="F7" s="2" t="s">
        <v>41</v>
      </c>
    </row>
    <row r="8" spans="1:6">
      <c r="A8" s="4">
        <v>1</v>
      </c>
      <c r="B8" s="5" t="s">
        <v>60</v>
      </c>
      <c r="C8" s="13" t="s">
        <v>67</v>
      </c>
      <c r="D8" s="6" t="s">
        <v>61</v>
      </c>
      <c r="E8" s="14" t="s">
        <v>68</v>
      </c>
      <c r="F8" s="6" t="s">
        <v>62</v>
      </c>
    </row>
    <row r="9" spans="1:6">
      <c r="A9" s="7"/>
      <c r="B9" s="8"/>
      <c r="C9" s="7"/>
      <c r="D9" s="9"/>
      <c r="E9" s="15"/>
      <c r="F9" s="9"/>
    </row>
    <row r="10" spans="1:6">
      <c r="A10" s="7"/>
      <c r="B10" s="8"/>
      <c r="C10" s="16" t="s">
        <v>69</v>
      </c>
      <c r="D10" s="9" t="s">
        <v>63</v>
      </c>
      <c r="E10" s="15" t="s">
        <v>70</v>
      </c>
      <c r="F10" s="9" t="s">
        <v>43</v>
      </c>
    </row>
    <row r="11" spans="1:6">
      <c r="A11" s="7"/>
      <c r="B11" s="8"/>
      <c r="C11" s="7" t="s">
        <v>71</v>
      </c>
      <c r="D11" s="9" t="s">
        <v>36</v>
      </c>
      <c r="E11" s="15" t="s">
        <v>72</v>
      </c>
      <c r="F11" s="9" t="s">
        <v>44</v>
      </c>
    </row>
    <row r="12" spans="1:6">
      <c r="A12" s="7"/>
      <c r="B12" s="8"/>
      <c r="C12" s="7"/>
      <c r="D12" s="9"/>
      <c r="E12" s="15" t="s">
        <v>73</v>
      </c>
      <c r="F12" s="9" t="s">
        <v>45</v>
      </c>
    </row>
    <row r="13" spans="1:6">
      <c r="A13" s="7"/>
      <c r="B13" s="8"/>
      <c r="C13" s="16" t="s">
        <v>74</v>
      </c>
      <c r="D13" s="9" t="s">
        <v>36</v>
      </c>
      <c r="E13" s="15" t="s">
        <v>75</v>
      </c>
      <c r="F13" s="9" t="s">
        <v>46</v>
      </c>
    </row>
    <row r="14" spans="1:6">
      <c r="A14" s="7"/>
      <c r="B14" s="8"/>
      <c r="C14" s="16" t="s">
        <v>76</v>
      </c>
      <c r="D14" s="9" t="s">
        <v>37</v>
      </c>
      <c r="E14" s="15" t="s">
        <v>77</v>
      </c>
      <c r="F14" s="9" t="s">
        <v>47</v>
      </c>
    </row>
    <row r="15" spans="1:6">
      <c r="A15" s="7"/>
      <c r="B15" s="8"/>
      <c r="C15" s="7"/>
      <c r="D15" s="9"/>
      <c r="E15" s="15" t="s">
        <v>86</v>
      </c>
      <c r="F15" s="9" t="s">
        <v>48</v>
      </c>
    </row>
    <row r="16" spans="1:6">
      <c r="A16" s="7"/>
      <c r="B16" s="8"/>
      <c r="C16" s="7"/>
      <c r="D16" s="9"/>
      <c r="E16" s="15"/>
      <c r="F16" s="9"/>
    </row>
    <row r="17" spans="1:6">
      <c r="A17" s="7"/>
      <c r="B17" s="8"/>
      <c r="C17" s="16" t="s">
        <v>87</v>
      </c>
      <c r="D17" s="9" t="s">
        <v>38</v>
      </c>
      <c r="E17" s="15" t="s">
        <v>88</v>
      </c>
      <c r="F17" s="9" t="s">
        <v>49</v>
      </c>
    </row>
    <row r="18" spans="1:6">
      <c r="A18" s="7"/>
      <c r="B18" s="8"/>
      <c r="C18" s="7"/>
      <c r="D18" s="9"/>
      <c r="E18" s="15"/>
      <c r="F18" s="9"/>
    </row>
    <row r="19" spans="1:6">
      <c r="A19" s="7"/>
      <c r="B19" s="8"/>
      <c r="C19" s="7"/>
      <c r="D19" s="9"/>
      <c r="E19" s="15"/>
      <c r="F19" s="9"/>
    </row>
    <row r="20" spans="1:6">
      <c r="A20" s="10"/>
      <c r="B20" s="11"/>
      <c r="C20" s="17" t="s">
        <v>93</v>
      </c>
      <c r="D20" s="12" t="s">
        <v>64</v>
      </c>
      <c r="E20" s="18" t="s">
        <v>94</v>
      </c>
      <c r="F20" s="12" t="s">
        <v>50</v>
      </c>
    </row>
    <row r="21" spans="1:6">
      <c r="A21" s="7">
        <v>2</v>
      </c>
      <c r="B21" s="8" t="s">
        <v>65</v>
      </c>
      <c r="C21" s="16" t="s">
        <v>78</v>
      </c>
      <c r="D21" s="9" t="s">
        <v>61</v>
      </c>
      <c r="E21" s="15" t="s">
        <v>79</v>
      </c>
      <c r="F21" s="9" t="s">
        <v>51</v>
      </c>
    </row>
    <row r="22" spans="1:6">
      <c r="A22" s="7"/>
      <c r="B22" s="8"/>
      <c r="C22" s="7"/>
      <c r="D22" s="9"/>
      <c r="E22" s="15" t="s">
        <v>80</v>
      </c>
      <c r="F22" s="9" t="s">
        <v>52</v>
      </c>
    </row>
    <row r="23" spans="1:6">
      <c r="A23" s="7"/>
      <c r="B23" s="8"/>
      <c r="C23" s="16" t="s">
        <v>81</v>
      </c>
      <c r="D23" s="9" t="s">
        <v>66</v>
      </c>
      <c r="E23" s="15" t="s">
        <v>82</v>
      </c>
      <c r="F23" s="9" t="s">
        <v>53</v>
      </c>
    </row>
    <row r="24" spans="1:6">
      <c r="A24" s="7"/>
      <c r="B24" s="8"/>
      <c r="C24" s="7"/>
      <c r="D24" s="9"/>
      <c r="E24" s="15"/>
      <c r="F24" s="9"/>
    </row>
    <row r="25" spans="1:6">
      <c r="A25" s="7"/>
      <c r="B25" s="8"/>
      <c r="C25" s="7"/>
      <c r="D25" s="9"/>
      <c r="E25" s="15" t="s">
        <v>83</v>
      </c>
      <c r="F25" s="9" t="s">
        <v>54</v>
      </c>
    </row>
    <row r="26" spans="1:6">
      <c r="A26" s="7"/>
      <c r="B26" s="8"/>
      <c r="C26" s="7"/>
      <c r="D26" s="9"/>
      <c r="E26" s="15"/>
      <c r="F26" s="9"/>
    </row>
    <row r="27" spans="1:6">
      <c r="A27" s="7"/>
      <c r="B27" s="8"/>
      <c r="C27" s="16" t="s">
        <v>84</v>
      </c>
      <c r="D27" s="9" t="s">
        <v>42</v>
      </c>
      <c r="E27" s="15" t="s">
        <v>85</v>
      </c>
      <c r="F27" s="9" t="s">
        <v>55</v>
      </c>
    </row>
    <row r="28" spans="1:6">
      <c r="A28" s="7"/>
      <c r="B28" s="8"/>
      <c r="C28" s="7"/>
      <c r="D28" s="9"/>
      <c r="E28" s="15" t="s">
        <v>89</v>
      </c>
      <c r="F28" s="9" t="s">
        <v>56</v>
      </c>
    </row>
    <row r="29" spans="1:6">
      <c r="A29" s="7"/>
      <c r="B29" s="8"/>
      <c r="C29" s="7"/>
      <c r="D29" s="9"/>
      <c r="E29" s="15" t="s">
        <v>90</v>
      </c>
      <c r="F29" s="9" t="s">
        <v>57</v>
      </c>
    </row>
    <row r="30" spans="1:6">
      <c r="A30" s="10"/>
      <c r="B30" s="11"/>
      <c r="C30" s="17" t="s">
        <v>91</v>
      </c>
      <c r="D30" s="12" t="s">
        <v>64</v>
      </c>
      <c r="E30" s="18" t="s">
        <v>92</v>
      </c>
      <c r="F30" s="12" t="s">
        <v>58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I20" sqref="I20"/>
    </sheetView>
  </sheetViews>
  <sheetFormatPr defaultRowHeight="13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Sheet6</vt:lpstr>
    </vt:vector>
  </TitlesOfParts>
  <Company>MouseComputer PC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adminiRyota</dc:creator>
  <cp:lastModifiedBy>adminiRyota</cp:lastModifiedBy>
  <dcterms:created xsi:type="dcterms:W3CDTF">2017-09-12T12:56:06Z</dcterms:created>
  <dcterms:modified xsi:type="dcterms:W3CDTF">2017-10-22T16:22:15Z</dcterms:modified>
</cp:coreProperties>
</file>